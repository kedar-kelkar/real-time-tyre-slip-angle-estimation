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ive D\Slip Angle Measurement Project\"/>
    </mc:Choice>
  </mc:AlternateContent>
  <xr:revisionPtr revIDLastSave="0" documentId="13_ncr:1_{1AE07190-A34B-4EC8-AF45-463EBEF72953}" xr6:coauthVersionLast="47" xr6:coauthVersionMax="47" xr10:uidLastSave="{00000000-0000-0000-0000-000000000000}"/>
  <bookViews>
    <workbookView xWindow="-110" yWindow="-110" windowWidth="19420" windowHeight="12220" activeTab="1" xr2:uid="{DA5F63A4-6730-43F3-8DEE-04DDAF00A4DB}"/>
  </bookViews>
  <sheets>
    <sheet name="Theoretical Wheel angles" sheetId="1" r:id="rId1"/>
    <sheet name="Measured Ang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1" i="2" l="1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10" i="2"/>
</calcChain>
</file>

<file path=xl/sharedStrings.xml><?xml version="1.0" encoding="utf-8"?>
<sst xmlns="http://schemas.openxmlformats.org/spreadsheetml/2006/main" count="27" uniqueCount="19">
  <si>
    <t xml:space="preserve">Rack Travel (mm) </t>
  </si>
  <si>
    <t>Left Front Angle</t>
  </si>
  <si>
    <t>Right Front Angle</t>
  </si>
  <si>
    <t>Voltage (V)</t>
  </si>
  <si>
    <t>SR 10.0 Wheel Angle measurement</t>
  </si>
  <si>
    <t>Specifications</t>
  </si>
  <si>
    <t>Wheelbase</t>
  </si>
  <si>
    <t>All Measurements in mm</t>
  </si>
  <si>
    <t>Trackwidth</t>
  </si>
  <si>
    <t>Front</t>
  </si>
  <si>
    <t>Rear</t>
  </si>
  <si>
    <t>Scrub Radius</t>
  </si>
  <si>
    <t>A-arm lever</t>
  </si>
  <si>
    <t>Tie rod length</t>
  </si>
  <si>
    <t>Design Wheel Angles</t>
  </si>
  <si>
    <t>Measured Wheel Angles</t>
  </si>
  <si>
    <t>*Convention is right turn from centred</t>
  </si>
  <si>
    <t>Design</t>
  </si>
  <si>
    <t>Measured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</si>
</sst>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Wheel</a:t>
            </a:r>
            <a:r>
              <a:rPr lang="en-IN" baseline="0"/>
              <a:t> Angles Inner v/s Outer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'Theoretical Wheel angles'!$B$1</c:f>
              <c:strCache>
                <c:ptCount val="1"/>
                <c:pt idx="0">
                  <c:v>Left Front Angle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'Theoretical Wheel angles'!$A$2:$A$42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xVal>
          <c:yVal>
            <c:numRef>
              <c:f>'Theoretical Wheel angles'!$B$2:$B$42</c:f>
              <c:numCache>
                <c:formatCode>General</c:formatCode>
                <c:ptCount val="41"/>
                <c:pt idx="0">
                  <c:v>0</c:v>
                </c:pt>
                <c:pt idx="1">
                  <c:v>0.68</c:v>
                </c:pt>
                <c:pt idx="2">
                  <c:v>1.37</c:v>
                </c:pt>
                <c:pt idx="3">
                  <c:v>2.06</c:v>
                </c:pt>
                <c:pt idx="4">
                  <c:v>2.75</c:v>
                </c:pt>
                <c:pt idx="5">
                  <c:v>3.45</c:v>
                </c:pt>
                <c:pt idx="6">
                  <c:v>4.1399999999999997</c:v>
                </c:pt>
                <c:pt idx="7">
                  <c:v>4.8499999999999996</c:v>
                </c:pt>
                <c:pt idx="8">
                  <c:v>5.55</c:v>
                </c:pt>
                <c:pt idx="9">
                  <c:v>6.26</c:v>
                </c:pt>
                <c:pt idx="10">
                  <c:v>6.97</c:v>
                </c:pt>
                <c:pt idx="11">
                  <c:v>7.69</c:v>
                </c:pt>
                <c:pt idx="12">
                  <c:v>8.41</c:v>
                </c:pt>
                <c:pt idx="13">
                  <c:v>9.14</c:v>
                </c:pt>
                <c:pt idx="14">
                  <c:v>9.8699999999999992</c:v>
                </c:pt>
                <c:pt idx="15">
                  <c:v>10.61</c:v>
                </c:pt>
                <c:pt idx="16">
                  <c:v>11.35</c:v>
                </c:pt>
                <c:pt idx="17">
                  <c:v>12.1</c:v>
                </c:pt>
                <c:pt idx="18">
                  <c:v>12.85</c:v>
                </c:pt>
                <c:pt idx="19">
                  <c:v>13.61</c:v>
                </c:pt>
                <c:pt idx="20">
                  <c:v>14.37</c:v>
                </c:pt>
                <c:pt idx="21">
                  <c:v>15.14</c:v>
                </c:pt>
                <c:pt idx="22">
                  <c:v>15.92</c:v>
                </c:pt>
                <c:pt idx="23">
                  <c:v>16.71</c:v>
                </c:pt>
                <c:pt idx="24">
                  <c:v>17.5</c:v>
                </c:pt>
                <c:pt idx="25">
                  <c:v>18.309999999999999</c:v>
                </c:pt>
                <c:pt idx="26">
                  <c:v>19.12</c:v>
                </c:pt>
                <c:pt idx="27">
                  <c:v>19.940000000000001</c:v>
                </c:pt>
                <c:pt idx="28">
                  <c:v>20.77</c:v>
                </c:pt>
                <c:pt idx="29">
                  <c:v>21.61</c:v>
                </c:pt>
                <c:pt idx="30">
                  <c:v>22.47</c:v>
                </c:pt>
                <c:pt idx="31">
                  <c:v>23.33</c:v>
                </c:pt>
                <c:pt idx="32">
                  <c:v>24.21</c:v>
                </c:pt>
                <c:pt idx="33">
                  <c:v>25.1</c:v>
                </c:pt>
                <c:pt idx="34">
                  <c:v>26</c:v>
                </c:pt>
                <c:pt idx="35">
                  <c:v>26.92</c:v>
                </c:pt>
                <c:pt idx="36">
                  <c:v>27.86</c:v>
                </c:pt>
                <c:pt idx="37">
                  <c:v>28.82</c:v>
                </c:pt>
                <c:pt idx="38">
                  <c:v>29.79</c:v>
                </c:pt>
                <c:pt idx="39">
                  <c:v>30.79</c:v>
                </c:pt>
                <c:pt idx="40">
                  <c:v>31.81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DF-4A15-AA1A-2FA984714B98}"/>
            </c:ext>
          </c:extLst>
        </c:ser>
        <c:ser>
          <c:idx val="1"/>
          <c:order val="1"/>
          <c:tx>
            <c:strRef>
              <c:f>'Theoretical Wheel angles'!$C$1</c:f>
              <c:strCache>
                <c:ptCount val="1"/>
                <c:pt idx="0">
                  <c:v>Right Front Angle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'Theoretical Wheel angles'!$A$2:$A$42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xVal>
          <c:yVal>
            <c:numRef>
              <c:f>'Theoretical Wheel angles'!$C$2:$C$42</c:f>
              <c:numCache>
                <c:formatCode>General</c:formatCode>
                <c:ptCount val="41"/>
                <c:pt idx="0">
                  <c:v>0</c:v>
                </c:pt>
                <c:pt idx="1">
                  <c:v>0.68</c:v>
                </c:pt>
                <c:pt idx="2">
                  <c:v>1.36</c:v>
                </c:pt>
                <c:pt idx="3">
                  <c:v>2.04</c:v>
                </c:pt>
                <c:pt idx="4">
                  <c:v>2.71</c:v>
                </c:pt>
                <c:pt idx="5">
                  <c:v>3.38</c:v>
                </c:pt>
                <c:pt idx="6">
                  <c:v>4.05</c:v>
                </c:pt>
                <c:pt idx="7">
                  <c:v>4.72</c:v>
                </c:pt>
                <c:pt idx="8">
                  <c:v>5.38</c:v>
                </c:pt>
                <c:pt idx="9">
                  <c:v>6.05</c:v>
                </c:pt>
                <c:pt idx="10">
                  <c:v>6.71</c:v>
                </c:pt>
                <c:pt idx="11">
                  <c:v>7.37</c:v>
                </c:pt>
                <c:pt idx="12">
                  <c:v>8.0299999999999994</c:v>
                </c:pt>
                <c:pt idx="13">
                  <c:v>8.69</c:v>
                </c:pt>
                <c:pt idx="14">
                  <c:v>9.35</c:v>
                </c:pt>
                <c:pt idx="15">
                  <c:v>10</c:v>
                </c:pt>
                <c:pt idx="16">
                  <c:v>10.66</c:v>
                </c:pt>
                <c:pt idx="17">
                  <c:v>11.31</c:v>
                </c:pt>
                <c:pt idx="18">
                  <c:v>11.96</c:v>
                </c:pt>
                <c:pt idx="19">
                  <c:v>12.62</c:v>
                </c:pt>
                <c:pt idx="20">
                  <c:v>13.27</c:v>
                </c:pt>
                <c:pt idx="21">
                  <c:v>13.92</c:v>
                </c:pt>
                <c:pt idx="22">
                  <c:v>14.97</c:v>
                </c:pt>
                <c:pt idx="23">
                  <c:v>15.22</c:v>
                </c:pt>
                <c:pt idx="24">
                  <c:v>15.86</c:v>
                </c:pt>
                <c:pt idx="25">
                  <c:v>16.510000000000002</c:v>
                </c:pt>
                <c:pt idx="26">
                  <c:v>17.16</c:v>
                </c:pt>
                <c:pt idx="27">
                  <c:v>17.809999999999999</c:v>
                </c:pt>
                <c:pt idx="28">
                  <c:v>18.46</c:v>
                </c:pt>
                <c:pt idx="29">
                  <c:v>19.100000000000001</c:v>
                </c:pt>
                <c:pt idx="30">
                  <c:v>19.75</c:v>
                </c:pt>
                <c:pt idx="31">
                  <c:v>20.399999999999999</c:v>
                </c:pt>
                <c:pt idx="32">
                  <c:v>21.04</c:v>
                </c:pt>
                <c:pt idx="33">
                  <c:v>21.69</c:v>
                </c:pt>
                <c:pt idx="34">
                  <c:v>22.34</c:v>
                </c:pt>
                <c:pt idx="35">
                  <c:v>22.98</c:v>
                </c:pt>
                <c:pt idx="36">
                  <c:v>23.63</c:v>
                </c:pt>
                <c:pt idx="37">
                  <c:v>24.28</c:v>
                </c:pt>
                <c:pt idx="38">
                  <c:v>24.93</c:v>
                </c:pt>
                <c:pt idx="39">
                  <c:v>25.58</c:v>
                </c:pt>
                <c:pt idx="40">
                  <c:v>26.23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DF-4A15-AA1A-2FA984714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011904"/>
        <c:axId val="1251423440"/>
      </c:scatterChart>
      <c:valAx>
        <c:axId val="1274011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Rack Travel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423440"/>
        <c:crosses val="autoZero"/>
        <c:crossBetween val="midCat"/>
      </c:valAx>
      <c:valAx>
        <c:axId val="125142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Wheel Angle (deg)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011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Left Front Wheel Angle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'Measured Angles'!$K$9</c:f>
              <c:strCache>
                <c:ptCount val="1"/>
                <c:pt idx="0">
                  <c:v>Design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'Measured Angles'!$F$10:$F$50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xVal>
          <c:yVal>
            <c:numRef>
              <c:f>'Measured Angles'!$G$10:$G$50</c:f>
              <c:numCache>
                <c:formatCode>General</c:formatCode>
                <c:ptCount val="41"/>
                <c:pt idx="0">
                  <c:v>0</c:v>
                </c:pt>
                <c:pt idx="1">
                  <c:v>0.68</c:v>
                </c:pt>
                <c:pt idx="2">
                  <c:v>1.37</c:v>
                </c:pt>
                <c:pt idx="3">
                  <c:v>2.06</c:v>
                </c:pt>
                <c:pt idx="4">
                  <c:v>2.75</c:v>
                </c:pt>
                <c:pt idx="5">
                  <c:v>3.45</c:v>
                </c:pt>
                <c:pt idx="6">
                  <c:v>4.1399999999999997</c:v>
                </c:pt>
                <c:pt idx="7">
                  <c:v>4.8499999999999996</c:v>
                </c:pt>
                <c:pt idx="8">
                  <c:v>5.55</c:v>
                </c:pt>
                <c:pt idx="9">
                  <c:v>6.26</c:v>
                </c:pt>
                <c:pt idx="10">
                  <c:v>6.97</c:v>
                </c:pt>
                <c:pt idx="11">
                  <c:v>7.69</c:v>
                </c:pt>
                <c:pt idx="12">
                  <c:v>8.41</c:v>
                </c:pt>
                <c:pt idx="13">
                  <c:v>9.14</c:v>
                </c:pt>
                <c:pt idx="14">
                  <c:v>9.8699999999999992</c:v>
                </c:pt>
                <c:pt idx="15">
                  <c:v>10.61</c:v>
                </c:pt>
                <c:pt idx="16">
                  <c:v>11.35</c:v>
                </c:pt>
                <c:pt idx="17">
                  <c:v>12.1</c:v>
                </c:pt>
                <c:pt idx="18">
                  <c:v>12.85</c:v>
                </c:pt>
                <c:pt idx="19">
                  <c:v>13.61</c:v>
                </c:pt>
                <c:pt idx="20">
                  <c:v>14.37</c:v>
                </c:pt>
                <c:pt idx="21">
                  <c:v>15.14</c:v>
                </c:pt>
                <c:pt idx="22">
                  <c:v>15.92</c:v>
                </c:pt>
                <c:pt idx="23">
                  <c:v>16.71</c:v>
                </c:pt>
                <c:pt idx="24">
                  <c:v>17.5</c:v>
                </c:pt>
                <c:pt idx="25">
                  <c:v>18.309999999999999</c:v>
                </c:pt>
                <c:pt idx="26">
                  <c:v>19.12</c:v>
                </c:pt>
                <c:pt idx="27">
                  <c:v>19.940000000000001</c:v>
                </c:pt>
                <c:pt idx="28">
                  <c:v>20.77</c:v>
                </c:pt>
                <c:pt idx="29">
                  <c:v>21.61</c:v>
                </c:pt>
                <c:pt idx="30">
                  <c:v>22.47</c:v>
                </c:pt>
                <c:pt idx="31">
                  <c:v>23.33</c:v>
                </c:pt>
                <c:pt idx="32">
                  <c:v>24.21</c:v>
                </c:pt>
                <c:pt idx="33">
                  <c:v>25.1</c:v>
                </c:pt>
                <c:pt idx="34">
                  <c:v>26</c:v>
                </c:pt>
                <c:pt idx="35">
                  <c:v>26.92</c:v>
                </c:pt>
                <c:pt idx="36">
                  <c:v>27.86</c:v>
                </c:pt>
                <c:pt idx="37">
                  <c:v>28.82</c:v>
                </c:pt>
                <c:pt idx="38">
                  <c:v>29.79</c:v>
                </c:pt>
                <c:pt idx="39">
                  <c:v>30.79</c:v>
                </c:pt>
                <c:pt idx="40">
                  <c:v>31.81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96-420D-9CE2-30D1D06EEB9A}"/>
            </c:ext>
          </c:extLst>
        </c:ser>
        <c:ser>
          <c:idx val="1"/>
          <c:order val="1"/>
          <c:tx>
            <c:strRef>
              <c:f>'Measured Angles'!$J$9</c:f>
              <c:strCache>
                <c:ptCount val="1"/>
                <c:pt idx="0">
                  <c:v>Measured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'Measured Angles'!$B$10:$B$42</c:f>
              <c:numCache>
                <c:formatCode>General</c:formatCode>
                <c:ptCount val="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</c:numCache>
            </c:numRef>
          </c:xVal>
          <c:yVal>
            <c:numRef>
              <c:f>'Measured Angles'!$C$10:$C$42</c:f>
              <c:numCache>
                <c:formatCode>0.0</c:formatCode>
                <c:ptCount val="33"/>
                <c:pt idx="0">
                  <c:v>0</c:v>
                </c:pt>
                <c:pt idx="1">
                  <c:v>0.68</c:v>
                </c:pt>
                <c:pt idx="2">
                  <c:v>1.37</c:v>
                </c:pt>
                <c:pt idx="3">
                  <c:v>2.06</c:v>
                </c:pt>
                <c:pt idx="4">
                  <c:v>2.8</c:v>
                </c:pt>
                <c:pt idx="5">
                  <c:v>3.45</c:v>
                </c:pt>
                <c:pt idx="6">
                  <c:v>4.1500000000000004</c:v>
                </c:pt>
                <c:pt idx="7">
                  <c:v>4.8499999999999996</c:v>
                </c:pt>
                <c:pt idx="8">
                  <c:v>5.56</c:v>
                </c:pt>
                <c:pt idx="9">
                  <c:v>6.28</c:v>
                </c:pt>
                <c:pt idx="10">
                  <c:v>6.99</c:v>
                </c:pt>
                <c:pt idx="11">
                  <c:v>7.71</c:v>
                </c:pt>
                <c:pt idx="12">
                  <c:v>8.44</c:v>
                </c:pt>
                <c:pt idx="13">
                  <c:v>9.17</c:v>
                </c:pt>
                <c:pt idx="14">
                  <c:v>9.91</c:v>
                </c:pt>
                <c:pt idx="15">
                  <c:v>10.65</c:v>
                </c:pt>
                <c:pt idx="16">
                  <c:v>11.4</c:v>
                </c:pt>
                <c:pt idx="17">
                  <c:v>12.15</c:v>
                </c:pt>
                <c:pt idx="18">
                  <c:v>12.91</c:v>
                </c:pt>
                <c:pt idx="19">
                  <c:v>13.68</c:v>
                </c:pt>
                <c:pt idx="20">
                  <c:v>14.46</c:v>
                </c:pt>
                <c:pt idx="21">
                  <c:v>15.24</c:v>
                </c:pt>
                <c:pt idx="22">
                  <c:v>16.03</c:v>
                </c:pt>
                <c:pt idx="23">
                  <c:v>16.829999999999998</c:v>
                </c:pt>
                <c:pt idx="24">
                  <c:v>17.64</c:v>
                </c:pt>
                <c:pt idx="25" formatCode="General">
                  <c:v>18.45</c:v>
                </c:pt>
                <c:pt idx="26">
                  <c:v>19.28</c:v>
                </c:pt>
                <c:pt idx="27">
                  <c:v>20.12</c:v>
                </c:pt>
                <c:pt idx="28">
                  <c:v>20.97</c:v>
                </c:pt>
                <c:pt idx="29">
                  <c:v>21.83</c:v>
                </c:pt>
                <c:pt idx="30" formatCode="General">
                  <c:v>22.7</c:v>
                </c:pt>
                <c:pt idx="31">
                  <c:v>23.59</c:v>
                </c:pt>
                <c:pt idx="32">
                  <c:v>24.49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996-420D-9CE2-30D1D06EE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169152"/>
        <c:axId val="1251427760"/>
      </c:scatterChart>
      <c:valAx>
        <c:axId val="1366169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1" i="0" u="none" strike="noStrike" kern="1200" baseline="0">
                    <a:solidFill>
                      <a:srgbClr val="0E2841"/>
                    </a:solidFill>
                  </a:rPr>
                  <a:t>Wheel Angle (deg)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427760"/>
        <c:crosses val="autoZero"/>
        <c:crossBetween val="midCat"/>
      </c:valAx>
      <c:valAx>
        <c:axId val="125142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Wheel Angle (deg)</a:t>
                </a:r>
              </a:p>
            </c:rich>
          </c:tx>
          <c:layout>
            <c:manualLayout>
              <c:xMode val="edge"/>
              <c:yMode val="edge"/>
              <c:x val="2.7777777777777776E-2"/>
              <c:y val="0.388846602508019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169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Right Front Wheel Angle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'Measured Angles'!$K$9</c:f>
              <c:strCache>
                <c:ptCount val="1"/>
                <c:pt idx="0">
                  <c:v>Design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'Measured Angles'!$F$10:$F$50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xVal>
          <c:yVal>
            <c:numRef>
              <c:f>'Measured Angles'!$H$10:$H$50</c:f>
              <c:numCache>
                <c:formatCode>General</c:formatCode>
                <c:ptCount val="41"/>
                <c:pt idx="0">
                  <c:v>0</c:v>
                </c:pt>
                <c:pt idx="1">
                  <c:v>0.68</c:v>
                </c:pt>
                <c:pt idx="2">
                  <c:v>1.36</c:v>
                </c:pt>
                <c:pt idx="3">
                  <c:v>2.04</c:v>
                </c:pt>
                <c:pt idx="4">
                  <c:v>2.71</c:v>
                </c:pt>
                <c:pt idx="5">
                  <c:v>3.38</c:v>
                </c:pt>
                <c:pt idx="6">
                  <c:v>4.05</c:v>
                </c:pt>
                <c:pt idx="7">
                  <c:v>4.72</c:v>
                </c:pt>
                <c:pt idx="8">
                  <c:v>5.38</c:v>
                </c:pt>
                <c:pt idx="9">
                  <c:v>6.05</c:v>
                </c:pt>
                <c:pt idx="10">
                  <c:v>6.71</c:v>
                </c:pt>
                <c:pt idx="11">
                  <c:v>7.37</c:v>
                </c:pt>
                <c:pt idx="12">
                  <c:v>8.0299999999999994</c:v>
                </c:pt>
                <c:pt idx="13">
                  <c:v>8.69</c:v>
                </c:pt>
                <c:pt idx="14">
                  <c:v>9.35</c:v>
                </c:pt>
                <c:pt idx="15">
                  <c:v>10</c:v>
                </c:pt>
                <c:pt idx="16">
                  <c:v>10.66</c:v>
                </c:pt>
                <c:pt idx="17">
                  <c:v>11.31</c:v>
                </c:pt>
                <c:pt idx="18">
                  <c:v>11.96</c:v>
                </c:pt>
                <c:pt idx="19">
                  <c:v>12.62</c:v>
                </c:pt>
                <c:pt idx="20">
                  <c:v>13.27</c:v>
                </c:pt>
                <c:pt idx="21">
                  <c:v>13.92</c:v>
                </c:pt>
                <c:pt idx="22">
                  <c:v>14.97</c:v>
                </c:pt>
                <c:pt idx="23">
                  <c:v>15.22</c:v>
                </c:pt>
                <c:pt idx="24">
                  <c:v>15.86</c:v>
                </c:pt>
                <c:pt idx="25">
                  <c:v>16.510000000000002</c:v>
                </c:pt>
                <c:pt idx="26">
                  <c:v>17.16</c:v>
                </c:pt>
                <c:pt idx="27">
                  <c:v>17.809999999999999</c:v>
                </c:pt>
                <c:pt idx="28">
                  <c:v>18.46</c:v>
                </c:pt>
                <c:pt idx="29">
                  <c:v>19.100000000000001</c:v>
                </c:pt>
                <c:pt idx="30">
                  <c:v>19.75</c:v>
                </c:pt>
                <c:pt idx="31">
                  <c:v>20.399999999999999</c:v>
                </c:pt>
                <c:pt idx="32">
                  <c:v>21.04</c:v>
                </c:pt>
                <c:pt idx="33">
                  <c:v>21.69</c:v>
                </c:pt>
                <c:pt idx="34">
                  <c:v>22.34</c:v>
                </c:pt>
                <c:pt idx="35">
                  <c:v>22.98</c:v>
                </c:pt>
                <c:pt idx="36">
                  <c:v>23.63</c:v>
                </c:pt>
                <c:pt idx="37">
                  <c:v>24.28</c:v>
                </c:pt>
                <c:pt idx="38">
                  <c:v>24.93</c:v>
                </c:pt>
                <c:pt idx="39">
                  <c:v>25.58</c:v>
                </c:pt>
                <c:pt idx="40">
                  <c:v>26.23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95-4A8A-8613-CA625EC17AAF}"/>
            </c:ext>
          </c:extLst>
        </c:ser>
        <c:ser>
          <c:idx val="1"/>
          <c:order val="1"/>
          <c:tx>
            <c:strRef>
              <c:f>'Measured Angles'!$J$9</c:f>
              <c:strCache>
                <c:ptCount val="1"/>
                <c:pt idx="0">
                  <c:v>Measured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'Measured Angles'!$B$10:$B$42</c:f>
              <c:numCache>
                <c:formatCode>General</c:formatCode>
                <c:ptCount val="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</c:numCache>
            </c:numRef>
          </c:xVal>
          <c:yVal>
            <c:numRef>
              <c:f>'Measured Angles'!$D$10:$D$42</c:f>
              <c:numCache>
                <c:formatCode>0.0</c:formatCode>
                <c:ptCount val="33"/>
                <c:pt idx="0">
                  <c:v>0</c:v>
                </c:pt>
                <c:pt idx="1">
                  <c:v>0.68</c:v>
                </c:pt>
                <c:pt idx="2">
                  <c:v>1.36</c:v>
                </c:pt>
                <c:pt idx="3">
                  <c:v>2.0299999999999998</c:v>
                </c:pt>
                <c:pt idx="4">
                  <c:v>2.7</c:v>
                </c:pt>
                <c:pt idx="5">
                  <c:v>3.38</c:v>
                </c:pt>
                <c:pt idx="6">
                  <c:v>4.04</c:v>
                </c:pt>
                <c:pt idx="7">
                  <c:v>4.71</c:v>
                </c:pt>
                <c:pt idx="8">
                  <c:v>5.37</c:v>
                </c:pt>
                <c:pt idx="9">
                  <c:v>6.04</c:v>
                </c:pt>
                <c:pt idx="10">
                  <c:v>6.69</c:v>
                </c:pt>
                <c:pt idx="11">
                  <c:v>7.35</c:v>
                </c:pt>
                <c:pt idx="12">
                  <c:v>8.01</c:v>
                </c:pt>
                <c:pt idx="13">
                  <c:v>8.66</c:v>
                </c:pt>
                <c:pt idx="14">
                  <c:v>9.32</c:v>
                </c:pt>
                <c:pt idx="15">
                  <c:v>9.9700000000000006</c:v>
                </c:pt>
                <c:pt idx="16">
                  <c:v>10.64</c:v>
                </c:pt>
                <c:pt idx="17">
                  <c:v>11.27</c:v>
                </c:pt>
                <c:pt idx="18">
                  <c:v>11.91</c:v>
                </c:pt>
                <c:pt idx="19">
                  <c:v>12.56</c:v>
                </c:pt>
                <c:pt idx="20">
                  <c:v>13.21</c:v>
                </c:pt>
                <c:pt idx="21">
                  <c:v>13.85</c:v>
                </c:pt>
                <c:pt idx="22">
                  <c:v>14.49</c:v>
                </c:pt>
                <c:pt idx="23">
                  <c:v>15.14</c:v>
                </c:pt>
                <c:pt idx="24">
                  <c:v>15.78</c:v>
                </c:pt>
                <c:pt idx="25" formatCode="General">
                  <c:v>16.420000000000002</c:v>
                </c:pt>
                <c:pt idx="26">
                  <c:v>17.059999999999999</c:v>
                </c:pt>
                <c:pt idx="27">
                  <c:v>17.7</c:v>
                </c:pt>
                <c:pt idx="28">
                  <c:v>18.34</c:v>
                </c:pt>
                <c:pt idx="29">
                  <c:v>19.98</c:v>
                </c:pt>
                <c:pt idx="30" formatCode="General">
                  <c:v>19.62</c:v>
                </c:pt>
                <c:pt idx="31">
                  <c:v>20.260000000000002</c:v>
                </c:pt>
                <c:pt idx="32">
                  <c:v>20.89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795-4A8A-8613-CA625EC17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6701968"/>
        <c:axId val="1251398960"/>
      </c:scatterChart>
      <c:valAx>
        <c:axId val="149670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Wheel Angle (deg)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398960"/>
        <c:crosses val="autoZero"/>
        <c:crossBetween val="midCat"/>
      </c:valAx>
      <c:valAx>
        <c:axId val="125139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Wheel Angle (deg)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701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1</xdr:row>
      <xdr:rowOff>136525</xdr:rowOff>
    </xdr:from>
    <xdr:to>
      <xdr:col>10</xdr:col>
      <xdr:colOff>523875</xdr:colOff>
      <xdr:row>16</xdr:row>
      <xdr:rowOff>117475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D1FC01-DB50-52C2-0192-A2B8E96C36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200025</xdr:colOff>
      <xdr:row>9</xdr:row>
      <xdr:rowOff>149225</xdr:rowOff>
    </xdr:from>
    <xdr:to>
      <xdr:col>15</xdr:col>
      <xdr:colOff>504825</xdr:colOff>
      <xdr:row>24</xdr:row>
      <xdr:rowOff>130175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98CA58-9BD7-3D25-06EC-7B828E5983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168275</xdr:colOff>
      <xdr:row>27</xdr:row>
      <xdr:rowOff>79375</xdr:rowOff>
    </xdr:from>
    <xdr:to>
      <xdr:col>15</xdr:col>
      <xdr:colOff>473075</xdr:colOff>
      <xdr:row>42</xdr:row>
      <xdr:rowOff>60325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4EA78C-CE35-C327-8DA6-C50F359D14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B96BD-E100-4AAD-8CB3-9B1CCD8EB118}">
  <dimension ref="A1:H42"/>
  <sheetViews>
    <sheetView workbookViewId="0">
      <selection activeCell="M7" sqref="M7"/>
    </sheetView>
  </sheetViews>
  <sheetFormatPr defaultRowHeight="14.5" x14ac:dyDescent="0.35"/>
  <cols>
    <col min="1" max="1" width="15.1796875" style="1" bestFit="1" customWidth="1"/>
    <col min="2" max="2" width="16.1796875" customWidth="1"/>
    <col min="3" max="3" width="15.36328125" customWidth="1"/>
  </cols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16</v>
      </c>
    </row>
    <row r="2" spans="1:4" x14ac:dyDescent="0.35">
      <c r="A2" s="1">
        <v>0</v>
      </c>
      <c r="B2">
        <v>0</v>
      </c>
      <c r="C2">
        <v>0</v>
      </c>
    </row>
    <row r="3" spans="1:4" x14ac:dyDescent="0.35">
      <c r="A3" s="1">
        <v>1</v>
      </c>
      <c r="B3">
        <v>0.68</v>
      </c>
      <c r="C3">
        <v>0.68</v>
      </c>
    </row>
    <row r="4" spans="1:4" x14ac:dyDescent="0.35">
      <c r="A4" s="1">
        <v>2</v>
      </c>
      <c r="B4">
        <v>1.37</v>
      </c>
      <c r="C4">
        <v>1.36</v>
      </c>
    </row>
    <row r="5" spans="1:4" x14ac:dyDescent="0.35">
      <c r="A5" s="1">
        <v>3</v>
      </c>
      <c r="B5">
        <v>2.06</v>
      </c>
      <c r="C5">
        <v>2.04</v>
      </c>
    </row>
    <row r="6" spans="1:4" x14ac:dyDescent="0.35">
      <c r="A6" s="1">
        <v>4</v>
      </c>
      <c r="B6">
        <v>2.75</v>
      </c>
      <c r="C6">
        <v>2.71</v>
      </c>
    </row>
    <row r="7" spans="1:4" x14ac:dyDescent="0.35">
      <c r="A7" s="1">
        <v>5</v>
      </c>
      <c r="B7">
        <v>3.45</v>
      </c>
      <c r="C7">
        <v>3.38</v>
      </c>
    </row>
    <row r="8" spans="1:4" x14ac:dyDescent="0.35">
      <c r="A8" s="1">
        <v>6</v>
      </c>
      <c r="B8">
        <v>4.1399999999999997</v>
      </c>
      <c r="C8">
        <v>4.05</v>
      </c>
    </row>
    <row r="9" spans="1:4" x14ac:dyDescent="0.35">
      <c r="A9" s="1">
        <v>7</v>
      </c>
      <c r="B9">
        <v>4.8499999999999996</v>
      </c>
      <c r="C9">
        <v>4.72</v>
      </c>
    </row>
    <row r="10" spans="1:4" x14ac:dyDescent="0.35">
      <c r="A10" s="1">
        <v>8</v>
      </c>
      <c r="B10">
        <v>5.55</v>
      </c>
      <c r="C10">
        <v>5.38</v>
      </c>
    </row>
    <row r="11" spans="1:4" x14ac:dyDescent="0.35">
      <c r="A11" s="1">
        <v>9</v>
      </c>
      <c r="B11">
        <v>6.26</v>
      </c>
      <c r="C11">
        <v>6.05</v>
      </c>
    </row>
    <row r="12" spans="1:4" x14ac:dyDescent="0.35">
      <c r="A12" s="1">
        <v>10</v>
      </c>
      <c r="B12">
        <v>6.97</v>
      </c>
      <c r="C12">
        <v>6.71</v>
      </c>
    </row>
    <row r="13" spans="1:4" x14ac:dyDescent="0.35">
      <c r="A13" s="1">
        <v>11</v>
      </c>
      <c r="B13">
        <v>7.69</v>
      </c>
      <c r="C13">
        <v>7.37</v>
      </c>
    </row>
    <row r="14" spans="1:4" x14ac:dyDescent="0.35">
      <c r="A14" s="1">
        <v>12</v>
      </c>
      <c r="B14">
        <v>8.41</v>
      </c>
      <c r="C14">
        <v>8.0299999999999994</v>
      </c>
    </row>
    <row r="15" spans="1:4" x14ac:dyDescent="0.35">
      <c r="A15" s="1">
        <v>13</v>
      </c>
      <c r="B15">
        <v>9.14</v>
      </c>
      <c r="C15">
        <v>8.69</v>
      </c>
    </row>
    <row r="16" spans="1:4" x14ac:dyDescent="0.35">
      <c r="A16" s="1">
        <v>14</v>
      </c>
      <c r="B16">
        <v>9.8699999999999992</v>
      </c>
      <c r="C16">
        <v>9.35</v>
      </c>
    </row>
    <row r="17" spans="1:8" x14ac:dyDescent="0.35">
      <c r="A17" s="1">
        <v>15</v>
      </c>
      <c r="B17">
        <v>10.61</v>
      </c>
      <c r="C17">
        <v>10</v>
      </c>
    </row>
    <row r="18" spans="1:8" x14ac:dyDescent="0.35">
      <c r="A18" s="1">
        <v>16</v>
      </c>
      <c r="B18">
        <v>11.35</v>
      </c>
      <c r="C18">
        <v>10.66</v>
      </c>
      <c r="E18" s="1" t="s">
        <v>16</v>
      </c>
      <c r="F18" s="1"/>
      <c r="G18" s="1"/>
      <c r="H18" s="1"/>
    </row>
    <row r="19" spans="1:8" x14ac:dyDescent="0.35">
      <c r="A19" s="1">
        <v>17</v>
      </c>
      <c r="B19">
        <v>12.1</v>
      </c>
      <c r="C19">
        <v>11.31</v>
      </c>
    </row>
    <row r="20" spans="1:8" x14ac:dyDescent="0.35">
      <c r="A20" s="1">
        <v>18</v>
      </c>
      <c r="B20">
        <v>12.85</v>
      </c>
      <c r="C20">
        <v>11.96</v>
      </c>
    </row>
    <row r="21" spans="1:8" x14ac:dyDescent="0.35">
      <c r="A21" s="1">
        <v>19</v>
      </c>
      <c r="B21">
        <v>13.61</v>
      </c>
      <c r="C21">
        <v>12.62</v>
      </c>
    </row>
    <row r="22" spans="1:8" x14ac:dyDescent="0.35">
      <c r="A22" s="1">
        <v>20</v>
      </c>
      <c r="B22">
        <v>14.37</v>
      </c>
      <c r="C22">
        <v>13.27</v>
      </c>
    </row>
    <row r="23" spans="1:8" x14ac:dyDescent="0.35">
      <c r="A23" s="1">
        <v>21</v>
      </c>
      <c r="B23">
        <v>15.14</v>
      </c>
      <c r="C23">
        <v>13.92</v>
      </c>
    </row>
    <row r="24" spans="1:8" x14ac:dyDescent="0.35">
      <c r="A24" s="1">
        <v>22</v>
      </c>
      <c r="B24">
        <v>15.92</v>
      </c>
      <c r="C24">
        <v>14.97</v>
      </c>
    </row>
    <row r="25" spans="1:8" x14ac:dyDescent="0.35">
      <c r="A25" s="1">
        <v>23</v>
      </c>
      <c r="B25">
        <v>16.71</v>
      </c>
      <c r="C25">
        <v>15.22</v>
      </c>
    </row>
    <row r="26" spans="1:8" x14ac:dyDescent="0.35">
      <c r="A26" s="1">
        <v>24</v>
      </c>
      <c r="B26">
        <v>17.5</v>
      </c>
      <c r="C26">
        <v>15.86</v>
      </c>
    </row>
    <row r="27" spans="1:8" x14ac:dyDescent="0.35">
      <c r="A27" s="1">
        <v>25</v>
      </c>
      <c r="B27">
        <v>18.309999999999999</v>
      </c>
      <c r="C27">
        <v>16.510000000000002</v>
      </c>
    </row>
    <row r="28" spans="1:8" x14ac:dyDescent="0.35">
      <c r="A28" s="1">
        <v>26</v>
      </c>
      <c r="B28">
        <v>19.12</v>
      </c>
      <c r="C28">
        <v>17.16</v>
      </c>
    </row>
    <row r="29" spans="1:8" x14ac:dyDescent="0.35">
      <c r="A29" s="1">
        <v>27</v>
      </c>
      <c r="B29">
        <v>19.940000000000001</v>
      </c>
      <c r="C29">
        <v>17.809999999999999</v>
      </c>
    </row>
    <row r="30" spans="1:8" x14ac:dyDescent="0.35">
      <c r="A30" s="1">
        <v>28</v>
      </c>
      <c r="B30">
        <v>20.77</v>
      </c>
      <c r="C30">
        <v>18.46</v>
      </c>
    </row>
    <row r="31" spans="1:8" x14ac:dyDescent="0.35">
      <c r="A31" s="1">
        <v>29</v>
      </c>
      <c r="B31">
        <v>21.61</v>
      </c>
      <c r="C31">
        <v>19.100000000000001</v>
      </c>
    </row>
    <row r="32" spans="1:8" x14ac:dyDescent="0.35">
      <c r="A32" s="1">
        <v>30</v>
      </c>
      <c r="B32">
        <v>22.47</v>
      </c>
      <c r="C32">
        <v>19.75</v>
      </c>
    </row>
    <row r="33" spans="1:3" x14ac:dyDescent="0.35">
      <c r="A33" s="1">
        <v>31</v>
      </c>
      <c r="B33">
        <v>23.33</v>
      </c>
      <c r="C33">
        <v>20.399999999999999</v>
      </c>
    </row>
    <row r="34" spans="1:3" x14ac:dyDescent="0.35">
      <c r="A34" s="1">
        <v>32</v>
      </c>
      <c r="B34">
        <v>24.21</v>
      </c>
      <c r="C34">
        <v>21.04</v>
      </c>
    </row>
    <row r="35" spans="1:3" x14ac:dyDescent="0.35">
      <c r="A35" s="1">
        <v>33</v>
      </c>
      <c r="B35">
        <v>25.1</v>
      </c>
      <c r="C35">
        <v>21.69</v>
      </c>
    </row>
    <row r="36" spans="1:3" x14ac:dyDescent="0.35">
      <c r="A36" s="1">
        <v>34</v>
      </c>
      <c r="B36">
        <v>26</v>
      </c>
      <c r="C36">
        <v>22.34</v>
      </c>
    </row>
    <row r="37" spans="1:3" x14ac:dyDescent="0.35">
      <c r="A37" s="1">
        <v>35</v>
      </c>
      <c r="B37">
        <v>26.92</v>
      </c>
      <c r="C37">
        <v>22.98</v>
      </c>
    </row>
    <row r="38" spans="1:3" x14ac:dyDescent="0.35">
      <c r="A38" s="1">
        <v>36</v>
      </c>
      <c r="B38">
        <v>27.86</v>
      </c>
      <c r="C38">
        <v>23.63</v>
      </c>
    </row>
    <row r="39" spans="1:3" x14ac:dyDescent="0.35">
      <c r="A39" s="1">
        <v>37</v>
      </c>
      <c r="B39">
        <v>28.82</v>
      </c>
      <c r="C39">
        <v>24.28</v>
      </c>
    </row>
    <row r="40" spans="1:3" x14ac:dyDescent="0.35">
      <c r="A40" s="1">
        <v>38</v>
      </c>
      <c r="B40">
        <v>29.79</v>
      </c>
      <c r="C40">
        <v>24.93</v>
      </c>
    </row>
    <row r="41" spans="1:3" x14ac:dyDescent="0.35">
      <c r="A41" s="1">
        <v>39</v>
      </c>
      <c r="B41">
        <v>30.79</v>
      </c>
      <c r="C41">
        <v>25.58</v>
      </c>
    </row>
    <row r="42" spans="1:3" x14ac:dyDescent="0.35">
      <c r="A42" s="1">
        <v>40</v>
      </c>
      <c r="B42">
        <v>31.81</v>
      </c>
      <c r="C42">
        <v>26.23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87F02-A2ED-4D2E-86E9-CB052D40235E}">
  <dimension ref="A1:K50"/>
  <sheetViews>
    <sheetView tabSelected="1" topLeftCell="A7" workbookViewId="0">
      <selection activeCell="A10" sqref="A10"/>
    </sheetView>
  </sheetViews>
  <sheetFormatPr defaultRowHeight="14.5" x14ac:dyDescent="0.35"/>
  <cols>
    <col min="1" max="1" width="13" style="1" bestFit="1" customWidth="1"/>
    <col min="2" max="2" width="15.7265625" style="1" bestFit="1" customWidth="1"/>
    <col min="3" max="3" width="13.81640625" bestFit="1" customWidth="1"/>
    <col min="4" max="4" width="15" bestFit="1" customWidth="1"/>
    <col min="6" max="6" width="15.7265625" bestFit="1" customWidth="1"/>
    <col min="7" max="7" width="13.81640625" bestFit="1" customWidth="1"/>
    <col min="8" max="8" width="15" bestFit="1" customWidth="1"/>
  </cols>
  <sheetData>
    <row r="1" spans="1:11" x14ac:dyDescent="0.35">
      <c r="A1" s="5" t="s">
        <v>4</v>
      </c>
      <c r="B1" s="5"/>
      <c r="C1" s="5"/>
      <c r="D1" s="5"/>
      <c r="E1" s="5"/>
    </row>
    <row r="2" spans="1:11" x14ac:dyDescent="0.35">
      <c r="A2" s="3" t="s">
        <v>5</v>
      </c>
      <c r="B2" s="4" t="s">
        <v>7</v>
      </c>
      <c r="C2" s="4"/>
      <c r="D2" s="4" t="s">
        <v>9</v>
      </c>
      <c r="E2" s="4" t="s">
        <v>10</v>
      </c>
    </row>
    <row r="3" spans="1:11" x14ac:dyDescent="0.35">
      <c r="A3" s="3" t="s">
        <v>6</v>
      </c>
      <c r="B3" s="3">
        <v>1540</v>
      </c>
      <c r="C3" s="3" t="s">
        <v>8</v>
      </c>
      <c r="D3" s="3">
        <v>1200</v>
      </c>
      <c r="E3" s="4">
        <v>1240</v>
      </c>
    </row>
    <row r="4" spans="1:11" x14ac:dyDescent="0.35">
      <c r="A4" s="3" t="s">
        <v>11</v>
      </c>
      <c r="B4" s="3">
        <v>55</v>
      </c>
      <c r="C4" s="4"/>
      <c r="D4" s="3">
        <v>1200</v>
      </c>
      <c r="E4" s="4">
        <v>1240</v>
      </c>
    </row>
    <row r="5" spans="1:11" x14ac:dyDescent="0.35">
      <c r="A5" s="3" t="s">
        <v>12</v>
      </c>
      <c r="B5" s="3">
        <v>84</v>
      </c>
      <c r="C5" s="4"/>
      <c r="D5" s="3"/>
      <c r="E5" s="4"/>
    </row>
    <row r="6" spans="1:11" x14ac:dyDescent="0.35">
      <c r="A6" s="3" t="s">
        <v>13</v>
      </c>
      <c r="B6" s="3">
        <v>385.9</v>
      </c>
      <c r="C6" s="4"/>
      <c r="D6" s="3"/>
      <c r="E6" s="4"/>
    </row>
    <row r="7" spans="1:11" x14ac:dyDescent="0.35">
      <c r="D7" s="6" t="s">
        <v>16</v>
      </c>
      <c r="E7" s="6"/>
      <c r="F7" s="6"/>
    </row>
    <row r="8" spans="1:11" x14ac:dyDescent="0.35">
      <c r="A8" s="6" t="s">
        <v>15</v>
      </c>
      <c r="B8" s="6"/>
      <c r="C8" s="6"/>
      <c r="D8" s="6"/>
      <c r="F8" s="6" t="s">
        <v>14</v>
      </c>
      <c r="G8" s="6"/>
      <c r="H8" s="6"/>
    </row>
    <row r="9" spans="1:11" x14ac:dyDescent="0.35">
      <c r="A9" s="1" t="s">
        <v>3</v>
      </c>
      <c r="B9" s="1" t="s">
        <v>0</v>
      </c>
      <c r="C9" s="1" t="s">
        <v>1</v>
      </c>
      <c r="D9" s="1" t="s">
        <v>2</v>
      </c>
      <c r="F9" s="1" t="s">
        <v>0</v>
      </c>
      <c r="G9" s="1" t="s">
        <v>1</v>
      </c>
      <c r="H9" s="1" t="s">
        <v>2</v>
      </c>
      <c r="J9" s="1" t="s">
        <v>18</v>
      </c>
      <c r="K9" s="1" t="s">
        <v>17</v>
      </c>
    </row>
    <row r="10" spans="1:11" x14ac:dyDescent="0.35">
      <c r="A10" s="1">
        <f>13.28*(B10+50)/100</f>
        <v>6.64</v>
      </c>
      <c r="B10" s="1">
        <v>0</v>
      </c>
      <c r="C10" s="2">
        <v>0</v>
      </c>
      <c r="D10" s="2">
        <v>0</v>
      </c>
      <c r="F10" s="1">
        <v>0</v>
      </c>
      <c r="G10">
        <v>0</v>
      </c>
      <c r="H10">
        <v>0</v>
      </c>
    </row>
    <row r="11" spans="1:11" x14ac:dyDescent="0.35">
      <c r="A11" s="1">
        <f t="shared" ref="A11:A42" si="0">13.28*(B11+50)/100</f>
        <v>6.7728000000000002</v>
      </c>
      <c r="B11" s="1">
        <v>1</v>
      </c>
      <c r="C11" s="2">
        <v>0.68</v>
      </c>
      <c r="D11" s="2">
        <v>0.68</v>
      </c>
      <c r="F11" s="1">
        <v>1</v>
      </c>
      <c r="G11">
        <v>0.68</v>
      </c>
      <c r="H11">
        <v>0.68</v>
      </c>
    </row>
    <row r="12" spans="1:11" x14ac:dyDescent="0.35">
      <c r="A12" s="1">
        <f t="shared" si="0"/>
        <v>6.9055999999999997</v>
      </c>
      <c r="B12" s="1">
        <v>2</v>
      </c>
      <c r="C12" s="2">
        <v>1.37</v>
      </c>
      <c r="D12" s="2">
        <v>1.36</v>
      </c>
      <c r="F12" s="1">
        <v>2</v>
      </c>
      <c r="G12">
        <v>1.37</v>
      </c>
      <c r="H12">
        <v>1.36</v>
      </c>
    </row>
    <row r="13" spans="1:11" x14ac:dyDescent="0.35">
      <c r="A13" s="1">
        <f t="shared" si="0"/>
        <v>7.0383999999999993</v>
      </c>
      <c r="B13" s="1">
        <v>3</v>
      </c>
      <c r="C13" s="2">
        <v>2.06</v>
      </c>
      <c r="D13" s="2">
        <v>2.0299999999999998</v>
      </c>
      <c r="F13" s="1">
        <v>3</v>
      </c>
      <c r="G13">
        <v>2.06</v>
      </c>
      <c r="H13">
        <v>2.04</v>
      </c>
    </row>
    <row r="14" spans="1:11" x14ac:dyDescent="0.35">
      <c r="A14" s="1">
        <f t="shared" si="0"/>
        <v>7.1711999999999998</v>
      </c>
      <c r="B14" s="1">
        <v>4</v>
      </c>
      <c r="C14" s="2">
        <v>2.8</v>
      </c>
      <c r="D14" s="2">
        <v>2.7</v>
      </c>
      <c r="F14" s="1">
        <v>4</v>
      </c>
      <c r="G14">
        <v>2.75</v>
      </c>
      <c r="H14">
        <v>2.71</v>
      </c>
    </row>
    <row r="15" spans="1:11" x14ac:dyDescent="0.35">
      <c r="A15" s="1">
        <f t="shared" si="0"/>
        <v>7.3039999999999994</v>
      </c>
      <c r="B15" s="1">
        <v>5</v>
      </c>
      <c r="C15" s="2">
        <v>3.45</v>
      </c>
      <c r="D15" s="2">
        <v>3.38</v>
      </c>
      <c r="F15" s="1">
        <v>5</v>
      </c>
      <c r="G15">
        <v>3.45</v>
      </c>
      <c r="H15">
        <v>3.38</v>
      </c>
    </row>
    <row r="16" spans="1:11" x14ac:dyDescent="0.35">
      <c r="A16" s="1">
        <f t="shared" si="0"/>
        <v>7.4367999999999999</v>
      </c>
      <c r="B16" s="1">
        <v>6</v>
      </c>
      <c r="C16" s="2">
        <v>4.1500000000000004</v>
      </c>
      <c r="D16" s="2">
        <v>4.04</v>
      </c>
      <c r="F16" s="1">
        <v>6</v>
      </c>
      <c r="G16">
        <v>4.1399999999999997</v>
      </c>
      <c r="H16">
        <v>4.05</v>
      </c>
    </row>
    <row r="17" spans="1:8" x14ac:dyDescent="0.35">
      <c r="A17" s="1">
        <f t="shared" si="0"/>
        <v>7.5695999999999994</v>
      </c>
      <c r="B17" s="1">
        <v>7</v>
      </c>
      <c r="C17" s="2">
        <v>4.8499999999999996</v>
      </c>
      <c r="D17" s="2">
        <v>4.71</v>
      </c>
      <c r="F17" s="1">
        <v>7</v>
      </c>
      <c r="G17">
        <v>4.8499999999999996</v>
      </c>
      <c r="H17">
        <v>4.72</v>
      </c>
    </row>
    <row r="18" spans="1:8" x14ac:dyDescent="0.35">
      <c r="A18" s="1">
        <f t="shared" si="0"/>
        <v>7.7023999999999999</v>
      </c>
      <c r="B18" s="1">
        <v>8</v>
      </c>
      <c r="C18" s="2">
        <v>5.56</v>
      </c>
      <c r="D18" s="2">
        <v>5.37</v>
      </c>
      <c r="F18" s="1">
        <v>8</v>
      </c>
      <c r="G18">
        <v>5.55</v>
      </c>
      <c r="H18">
        <v>5.38</v>
      </c>
    </row>
    <row r="19" spans="1:8" x14ac:dyDescent="0.35">
      <c r="A19" s="1">
        <f t="shared" si="0"/>
        <v>7.8351999999999995</v>
      </c>
      <c r="B19" s="1">
        <v>9</v>
      </c>
      <c r="C19" s="2">
        <v>6.28</v>
      </c>
      <c r="D19" s="2">
        <v>6.04</v>
      </c>
      <c r="F19" s="1">
        <v>9</v>
      </c>
      <c r="G19">
        <v>6.26</v>
      </c>
      <c r="H19">
        <v>6.05</v>
      </c>
    </row>
    <row r="20" spans="1:8" x14ac:dyDescent="0.35">
      <c r="A20" s="1">
        <f t="shared" si="0"/>
        <v>7.968</v>
      </c>
      <c r="B20" s="1">
        <v>10</v>
      </c>
      <c r="C20" s="2">
        <v>6.99</v>
      </c>
      <c r="D20" s="2">
        <v>6.69</v>
      </c>
      <c r="F20" s="1">
        <v>10</v>
      </c>
      <c r="G20">
        <v>6.97</v>
      </c>
      <c r="H20">
        <v>6.71</v>
      </c>
    </row>
    <row r="21" spans="1:8" x14ac:dyDescent="0.35">
      <c r="A21" s="1">
        <f t="shared" si="0"/>
        <v>8.1007999999999996</v>
      </c>
      <c r="B21" s="1">
        <v>11</v>
      </c>
      <c r="C21" s="2">
        <v>7.71</v>
      </c>
      <c r="D21" s="2">
        <v>7.35</v>
      </c>
      <c r="F21" s="1">
        <v>11</v>
      </c>
      <c r="G21">
        <v>7.69</v>
      </c>
      <c r="H21">
        <v>7.37</v>
      </c>
    </row>
    <row r="22" spans="1:8" x14ac:dyDescent="0.35">
      <c r="A22" s="1">
        <f t="shared" si="0"/>
        <v>8.2336000000000009</v>
      </c>
      <c r="B22" s="1">
        <v>12</v>
      </c>
      <c r="C22" s="2">
        <v>8.44</v>
      </c>
      <c r="D22" s="2">
        <v>8.01</v>
      </c>
      <c r="F22" s="1">
        <v>12</v>
      </c>
      <c r="G22">
        <v>8.41</v>
      </c>
      <c r="H22">
        <v>8.0299999999999994</v>
      </c>
    </row>
    <row r="23" spans="1:8" x14ac:dyDescent="0.35">
      <c r="A23" s="1">
        <f t="shared" si="0"/>
        <v>8.3664000000000005</v>
      </c>
      <c r="B23" s="1">
        <v>13</v>
      </c>
      <c r="C23" s="2">
        <v>9.17</v>
      </c>
      <c r="D23" s="2">
        <v>8.66</v>
      </c>
      <c r="F23" s="1">
        <v>13</v>
      </c>
      <c r="G23">
        <v>9.14</v>
      </c>
      <c r="H23">
        <v>8.69</v>
      </c>
    </row>
    <row r="24" spans="1:8" x14ac:dyDescent="0.35">
      <c r="A24" s="1">
        <f t="shared" si="0"/>
        <v>8.4992000000000001</v>
      </c>
      <c r="B24" s="1">
        <v>14</v>
      </c>
      <c r="C24" s="2">
        <v>9.91</v>
      </c>
      <c r="D24" s="2">
        <v>9.32</v>
      </c>
      <c r="F24" s="1">
        <v>14</v>
      </c>
      <c r="G24">
        <v>9.8699999999999992</v>
      </c>
      <c r="H24">
        <v>9.35</v>
      </c>
    </row>
    <row r="25" spans="1:8" x14ac:dyDescent="0.35">
      <c r="A25" s="1">
        <f t="shared" si="0"/>
        <v>8.6319999999999997</v>
      </c>
      <c r="B25" s="1">
        <v>15</v>
      </c>
      <c r="C25" s="2">
        <v>10.65</v>
      </c>
      <c r="D25" s="2">
        <v>9.9700000000000006</v>
      </c>
      <c r="F25" s="1">
        <v>15</v>
      </c>
      <c r="G25">
        <v>10.61</v>
      </c>
      <c r="H25">
        <v>10</v>
      </c>
    </row>
    <row r="26" spans="1:8" x14ac:dyDescent="0.35">
      <c r="A26" s="1">
        <f t="shared" si="0"/>
        <v>8.7647999999999993</v>
      </c>
      <c r="B26" s="1">
        <v>16</v>
      </c>
      <c r="C26" s="2">
        <v>11.4</v>
      </c>
      <c r="D26" s="2">
        <v>10.64</v>
      </c>
      <c r="F26" s="1">
        <v>16</v>
      </c>
      <c r="G26">
        <v>11.35</v>
      </c>
      <c r="H26">
        <v>10.66</v>
      </c>
    </row>
    <row r="27" spans="1:8" x14ac:dyDescent="0.35">
      <c r="A27" s="1">
        <f t="shared" si="0"/>
        <v>8.8976000000000006</v>
      </c>
      <c r="B27" s="1">
        <v>17</v>
      </c>
      <c r="C27" s="2">
        <v>12.15</v>
      </c>
      <c r="D27" s="2">
        <v>11.27</v>
      </c>
      <c r="F27" s="1">
        <v>17</v>
      </c>
      <c r="G27">
        <v>12.1</v>
      </c>
      <c r="H27">
        <v>11.31</v>
      </c>
    </row>
    <row r="28" spans="1:8" x14ac:dyDescent="0.35">
      <c r="A28" s="1">
        <f t="shared" si="0"/>
        <v>9.0304000000000002</v>
      </c>
      <c r="B28" s="1">
        <v>18</v>
      </c>
      <c r="C28" s="2">
        <v>12.91</v>
      </c>
      <c r="D28" s="2">
        <v>11.91</v>
      </c>
      <c r="F28" s="1">
        <v>18</v>
      </c>
      <c r="G28">
        <v>12.85</v>
      </c>
      <c r="H28">
        <v>11.96</v>
      </c>
    </row>
    <row r="29" spans="1:8" x14ac:dyDescent="0.35">
      <c r="A29" s="1">
        <f t="shared" si="0"/>
        <v>9.1631999999999998</v>
      </c>
      <c r="B29" s="1">
        <v>19</v>
      </c>
      <c r="C29" s="2">
        <v>13.68</v>
      </c>
      <c r="D29" s="2">
        <v>12.56</v>
      </c>
      <c r="F29" s="1">
        <v>19</v>
      </c>
      <c r="G29">
        <v>13.61</v>
      </c>
      <c r="H29">
        <v>12.62</v>
      </c>
    </row>
    <row r="30" spans="1:8" x14ac:dyDescent="0.35">
      <c r="A30" s="1">
        <f t="shared" si="0"/>
        <v>9.2959999999999994</v>
      </c>
      <c r="B30" s="1">
        <v>20</v>
      </c>
      <c r="C30" s="2">
        <v>14.46</v>
      </c>
      <c r="D30" s="2">
        <v>13.21</v>
      </c>
      <c r="F30" s="1">
        <v>20</v>
      </c>
      <c r="G30">
        <v>14.37</v>
      </c>
      <c r="H30">
        <v>13.27</v>
      </c>
    </row>
    <row r="31" spans="1:8" x14ac:dyDescent="0.35">
      <c r="A31" s="1">
        <f t="shared" si="0"/>
        <v>9.4288000000000007</v>
      </c>
      <c r="B31" s="1">
        <v>21</v>
      </c>
      <c r="C31" s="2">
        <v>15.24</v>
      </c>
      <c r="D31" s="2">
        <v>13.85</v>
      </c>
      <c r="F31" s="1">
        <v>21</v>
      </c>
      <c r="G31">
        <v>15.14</v>
      </c>
      <c r="H31">
        <v>13.92</v>
      </c>
    </row>
    <row r="32" spans="1:8" x14ac:dyDescent="0.35">
      <c r="A32" s="1">
        <f t="shared" si="0"/>
        <v>9.5616000000000003</v>
      </c>
      <c r="B32" s="1">
        <v>22</v>
      </c>
      <c r="C32" s="2">
        <v>16.03</v>
      </c>
      <c r="D32" s="2">
        <v>14.49</v>
      </c>
      <c r="F32" s="1">
        <v>22</v>
      </c>
      <c r="G32">
        <v>15.92</v>
      </c>
      <c r="H32">
        <v>14.97</v>
      </c>
    </row>
    <row r="33" spans="1:8" x14ac:dyDescent="0.35">
      <c r="A33" s="1">
        <f t="shared" si="0"/>
        <v>9.6943999999999999</v>
      </c>
      <c r="B33" s="1">
        <v>23</v>
      </c>
      <c r="C33" s="2">
        <v>16.829999999999998</v>
      </c>
      <c r="D33" s="2">
        <v>15.14</v>
      </c>
      <c r="F33" s="1">
        <v>23</v>
      </c>
      <c r="G33">
        <v>16.71</v>
      </c>
      <c r="H33">
        <v>15.22</v>
      </c>
    </row>
    <row r="34" spans="1:8" x14ac:dyDescent="0.35">
      <c r="A34" s="1">
        <f t="shared" si="0"/>
        <v>9.8271999999999995</v>
      </c>
      <c r="B34" s="1">
        <v>24</v>
      </c>
      <c r="C34" s="2">
        <v>17.64</v>
      </c>
      <c r="D34" s="2">
        <v>15.78</v>
      </c>
      <c r="F34" s="1">
        <v>24</v>
      </c>
      <c r="G34">
        <v>17.5</v>
      </c>
      <c r="H34">
        <v>15.86</v>
      </c>
    </row>
    <row r="35" spans="1:8" x14ac:dyDescent="0.35">
      <c r="A35" s="1">
        <f t="shared" si="0"/>
        <v>9.9600000000000009</v>
      </c>
      <c r="B35" s="1">
        <v>25</v>
      </c>
      <c r="C35">
        <v>18.45</v>
      </c>
      <c r="D35">
        <v>16.420000000000002</v>
      </c>
      <c r="F35" s="1">
        <v>25</v>
      </c>
      <c r="G35">
        <v>18.309999999999999</v>
      </c>
      <c r="H35">
        <v>16.510000000000002</v>
      </c>
    </row>
    <row r="36" spans="1:8" x14ac:dyDescent="0.35">
      <c r="A36" s="1">
        <f t="shared" si="0"/>
        <v>10.0928</v>
      </c>
      <c r="B36" s="1">
        <v>26</v>
      </c>
      <c r="C36" s="2">
        <v>19.28</v>
      </c>
      <c r="D36" s="2">
        <v>17.059999999999999</v>
      </c>
      <c r="F36" s="1">
        <v>26</v>
      </c>
      <c r="G36">
        <v>19.12</v>
      </c>
      <c r="H36">
        <v>17.16</v>
      </c>
    </row>
    <row r="37" spans="1:8" x14ac:dyDescent="0.35">
      <c r="A37" s="1">
        <f t="shared" si="0"/>
        <v>10.2256</v>
      </c>
      <c r="B37" s="1">
        <v>27</v>
      </c>
      <c r="C37" s="2">
        <v>20.12</v>
      </c>
      <c r="D37" s="2">
        <v>17.7</v>
      </c>
      <c r="F37" s="1">
        <v>27</v>
      </c>
      <c r="G37">
        <v>19.940000000000001</v>
      </c>
      <c r="H37">
        <v>17.809999999999999</v>
      </c>
    </row>
    <row r="38" spans="1:8" x14ac:dyDescent="0.35">
      <c r="A38" s="1">
        <f t="shared" si="0"/>
        <v>10.3584</v>
      </c>
      <c r="B38" s="1">
        <v>28</v>
      </c>
      <c r="C38" s="2">
        <v>20.97</v>
      </c>
      <c r="D38" s="2">
        <v>18.34</v>
      </c>
      <c r="F38" s="1">
        <v>28</v>
      </c>
      <c r="G38">
        <v>20.77</v>
      </c>
      <c r="H38">
        <v>18.46</v>
      </c>
    </row>
    <row r="39" spans="1:8" x14ac:dyDescent="0.35">
      <c r="A39" s="1">
        <f t="shared" si="0"/>
        <v>10.491199999999999</v>
      </c>
      <c r="B39" s="1">
        <v>29</v>
      </c>
      <c r="C39" s="2">
        <v>21.83</v>
      </c>
      <c r="D39" s="2">
        <v>19.98</v>
      </c>
      <c r="F39" s="1">
        <v>29</v>
      </c>
      <c r="G39">
        <v>21.61</v>
      </c>
      <c r="H39">
        <v>19.100000000000001</v>
      </c>
    </row>
    <row r="40" spans="1:8" x14ac:dyDescent="0.35">
      <c r="A40" s="1">
        <f t="shared" si="0"/>
        <v>10.623999999999999</v>
      </c>
      <c r="B40" s="1">
        <v>30</v>
      </c>
      <c r="C40">
        <v>22.7</v>
      </c>
      <c r="D40">
        <v>19.62</v>
      </c>
      <c r="F40" s="1">
        <v>30</v>
      </c>
      <c r="G40">
        <v>22.47</v>
      </c>
      <c r="H40">
        <v>19.75</v>
      </c>
    </row>
    <row r="41" spans="1:8" x14ac:dyDescent="0.35">
      <c r="A41" s="1">
        <f t="shared" si="0"/>
        <v>10.756799999999998</v>
      </c>
      <c r="B41" s="1">
        <v>31</v>
      </c>
      <c r="C41" s="2">
        <v>23.59</v>
      </c>
      <c r="D41" s="2">
        <v>20.260000000000002</v>
      </c>
      <c r="F41" s="1">
        <v>31</v>
      </c>
      <c r="G41">
        <v>23.33</v>
      </c>
      <c r="H41">
        <v>20.399999999999999</v>
      </c>
    </row>
    <row r="42" spans="1:8" x14ac:dyDescent="0.35">
      <c r="A42" s="1">
        <f t="shared" si="0"/>
        <v>10.8896</v>
      </c>
      <c r="B42" s="1">
        <v>32</v>
      </c>
      <c r="C42" s="2">
        <v>24.49</v>
      </c>
      <c r="D42" s="2">
        <v>20.89</v>
      </c>
      <c r="F42" s="1">
        <v>32</v>
      </c>
      <c r="G42">
        <v>24.21</v>
      </c>
      <c r="H42">
        <v>21.04</v>
      </c>
    </row>
    <row r="43" spans="1:8" x14ac:dyDescent="0.35">
      <c r="F43" s="1">
        <v>33</v>
      </c>
      <c r="G43">
        <v>25.1</v>
      </c>
      <c r="H43">
        <v>21.69</v>
      </c>
    </row>
    <row r="44" spans="1:8" x14ac:dyDescent="0.35">
      <c r="F44" s="1">
        <v>34</v>
      </c>
      <c r="G44">
        <v>26</v>
      </c>
      <c r="H44">
        <v>22.34</v>
      </c>
    </row>
    <row r="45" spans="1:8" x14ac:dyDescent="0.35">
      <c r="F45" s="1">
        <v>35</v>
      </c>
      <c r="G45">
        <v>26.92</v>
      </c>
      <c r="H45">
        <v>22.98</v>
      </c>
    </row>
    <row r="46" spans="1:8" x14ac:dyDescent="0.35">
      <c r="F46" s="1">
        <v>36</v>
      </c>
      <c r="G46">
        <v>27.86</v>
      </c>
      <c r="H46">
        <v>23.63</v>
      </c>
    </row>
    <row r="47" spans="1:8" x14ac:dyDescent="0.35">
      <c r="F47" s="1">
        <v>37</v>
      </c>
      <c r="G47">
        <v>28.82</v>
      </c>
      <c r="H47">
        <v>24.28</v>
      </c>
    </row>
    <row r="48" spans="1:8" x14ac:dyDescent="0.35">
      <c r="F48" s="1">
        <v>38</v>
      </c>
      <c r="G48">
        <v>29.79</v>
      </c>
      <c r="H48">
        <v>24.93</v>
      </c>
    </row>
    <row r="49" spans="6:8" x14ac:dyDescent="0.35">
      <c r="F49" s="1">
        <v>39</v>
      </c>
      <c r="G49">
        <v>30.79</v>
      </c>
      <c r="H49">
        <v>25.58</v>
      </c>
    </row>
    <row r="50" spans="6:8" x14ac:dyDescent="0.35">
      <c r="F50" s="1">
        <v>40</v>
      </c>
      <c r="G50">
        <v>31.81</v>
      </c>
      <c r="H50">
        <v>26.23</v>
      </c>
    </row>
  </sheetData>
  <mergeCells count="4">
    <mergeCell ref="A1:E1"/>
    <mergeCell ref="A8:D8"/>
    <mergeCell ref="F8:H8"/>
    <mergeCell ref="D7:F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Theoretical Wheel angles</vt:lpstr>
      <vt:lpstr>Measured Angles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Kelkar</dc:creator>
  <cp:lastModifiedBy>Kedar Kelkar</cp:lastModifiedBy>
  <dcterms:created xsi:type="dcterms:W3CDTF">2026-08-19T13:08:33Z</dcterms:created>
  <dcterms:modified xsi:type="dcterms:W3CDTF">2026-08-19T20:06:50Z</dcterms:modified>
</cp:coreProperties>
</file>